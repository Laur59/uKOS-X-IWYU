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fr/DATA/DATA_Private/uKOS_Project/uKOS_Soft/OS_Kernel-X/OS/Lib_kernels/"/>
    </mc:Choice>
  </mc:AlternateContent>
  <xr:revisionPtr revIDLastSave="0" documentId="13_ncr:1_{5E984F64-4CE4-E441-BDCA-DCE87D48D7A1}" xr6:coauthVersionLast="47" xr6:coauthVersionMax="47" xr10:uidLastSave="{00000000-0000-0000-0000-000000000000}"/>
  <bookViews>
    <workbookView xWindow="0" yWindow="880" windowWidth="30500" windowHeight="23000" xr2:uid="{B67B7A1B-C885-6E46-BD32-CA24AEA0BD33}"/>
  </bookViews>
  <sheets>
    <sheet name="Micro Kernel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9" i="1"/>
  <c r="E16" i="1"/>
  <c r="E15" i="1"/>
  <c r="E13" i="1"/>
  <c r="E12" i="1"/>
  <c r="E8" i="1"/>
  <c r="E18" i="1"/>
</calcChain>
</file>

<file path=xl/sharedStrings.xml><?xml version="1.0" encoding="utf-8"?>
<sst xmlns="http://schemas.openxmlformats.org/spreadsheetml/2006/main" count="23" uniqueCount="23">
  <si>
    <t>Object</t>
  </si>
  <si>
    <t>[Bytes]</t>
  </si>
  <si>
    <t>Mailboxes</t>
  </si>
  <si>
    <t>Pools</t>
  </si>
  <si>
    <t>Semaphores</t>
  </si>
  <si>
    <t>Software timers</t>
  </si>
  <si>
    <t>Number of Mailboxes</t>
  </si>
  <si>
    <t>Number of Processes</t>
  </si>
  <si>
    <t>Number of Pools</t>
  </si>
  <si>
    <t>Number of Semaphores</t>
  </si>
  <si>
    <t>Number of Software Timers</t>
  </si>
  <si>
    <t>Total memory used by the objects</t>
  </si>
  <si>
    <t>Modify only these parameters</t>
  </si>
  <si>
    <t>Number of Signal Groups</t>
  </si>
  <si>
    <t>Signal Groups</t>
  </si>
  <si>
    <t>Statistics</t>
  </si>
  <si>
    <t>Processes</t>
  </si>
  <si>
    <t>Structure needs</t>
  </si>
  <si>
    <t xml:space="preserve">    Fifo deep</t>
  </si>
  <si>
    <t>Number of Mutexes</t>
  </si>
  <si>
    <t>EFr, 01/01/25</t>
  </si>
  <si>
    <t>Mutexes</t>
  </si>
  <si>
    <t>uKOS-X Object Memory  Estimator (Micro Kernel)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</si>
</sst>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C206-261C-1D4D-8DD3-CD0C745ABEB1}">
  <dimension ref="A1:E18"/>
  <sheetViews>
    <sheetView tabSelected="1" workbookViewId="0">
      <selection activeCell="E9" sqref="E9"/>
    </sheetView>
  </sheetViews>
  <sheetFormatPr baseColWidth="10" defaultRowHeight="16" x14ac:dyDescent="0.2"/>
  <cols>
    <col min="1" max="1" width="32.83203125" customWidth="1"/>
    <col min="2" max="2" width="26.33203125" bestFit="1" customWidth="1"/>
    <col min="3" max="3" width="2.5" customWidth="1"/>
    <col min="4" max="4" width="45.33203125" bestFit="1" customWidth="1"/>
    <col min="5" max="5" width="17.1640625" bestFit="1" customWidth="1"/>
  </cols>
  <sheetData>
    <row r="1" spans="1:5" ht="24" x14ac:dyDescent="0.3">
      <c r="A1" s="4" t="s">
        <v>22</v>
      </c>
    </row>
    <row r="2" spans="1:5" ht="19" x14ac:dyDescent="0.25">
      <c r="A2" t="s">
        <v>20</v>
      </c>
      <c r="E2" s="5"/>
    </row>
    <row r="3" spans="1:5" ht="19" x14ac:dyDescent="0.25">
      <c r="E3" s="5" t="s">
        <v>17</v>
      </c>
    </row>
    <row r="4" spans="1:5" ht="19" x14ac:dyDescent="0.25">
      <c r="B4" s="6" t="s">
        <v>12</v>
      </c>
      <c r="D4" s="5" t="s">
        <v>0</v>
      </c>
      <c r="E4" s="5" t="s">
        <v>1</v>
      </c>
    </row>
    <row r="5" spans="1:5" x14ac:dyDescent="0.2">
      <c r="B5" s="6"/>
      <c r="D5" s="2"/>
    </row>
    <row r="6" spans="1:5" x14ac:dyDescent="0.2">
      <c r="A6" s="2" t="s">
        <v>15</v>
      </c>
      <c r="B6" s="6">
        <v>1</v>
      </c>
      <c r="D6" s="2"/>
    </row>
    <row r="7" spans="1:5" x14ac:dyDescent="0.2">
      <c r="A7" s="2"/>
      <c r="B7" s="6"/>
      <c r="D7" s="2"/>
    </row>
    <row r="8" spans="1:5" x14ac:dyDescent="0.2">
      <c r="A8" s="2" t="s">
        <v>7</v>
      </c>
      <c r="B8" s="1">
        <v>32</v>
      </c>
      <c r="D8" t="s">
        <v>16</v>
      </c>
      <c r="E8">
        <f>$B$8*((136-38) +38*$B$6)</f>
        <v>4352</v>
      </c>
    </row>
    <row r="9" spans="1:5" x14ac:dyDescent="0.2">
      <c r="A9" s="2" t="s">
        <v>6</v>
      </c>
      <c r="B9" s="1">
        <v>16</v>
      </c>
      <c r="D9" t="s">
        <v>2</v>
      </c>
      <c r="E9">
        <f>$B$9*(68+$B$10*(8+$B$6*20))</f>
        <v>8256</v>
      </c>
    </row>
    <row r="10" spans="1:5" x14ac:dyDescent="0.2">
      <c r="A10" s="2" t="s">
        <v>18</v>
      </c>
      <c r="B10" s="1">
        <v>16</v>
      </c>
    </row>
    <row r="11" spans="1:5" x14ac:dyDescent="0.2">
      <c r="A11" s="2"/>
      <c r="B11" s="1"/>
    </row>
    <row r="12" spans="1:5" x14ac:dyDescent="0.2">
      <c r="A12" s="2" t="s">
        <v>8</v>
      </c>
      <c r="B12" s="1">
        <v>8</v>
      </c>
      <c r="D12" t="s">
        <v>3</v>
      </c>
      <c r="E12">
        <f>$B$12*(28)</f>
        <v>224</v>
      </c>
    </row>
    <row r="13" spans="1:5" x14ac:dyDescent="0.2">
      <c r="A13" s="2" t="s">
        <v>9</v>
      </c>
      <c r="B13" s="1">
        <v>48</v>
      </c>
      <c r="D13" t="s">
        <v>4</v>
      </c>
      <c r="E13">
        <f>$B$13*(32)</f>
        <v>1536</v>
      </c>
    </row>
    <row r="14" spans="1:5" x14ac:dyDescent="0.2">
      <c r="A14" s="2" t="s">
        <v>19</v>
      </c>
      <c r="B14" s="1">
        <v>48</v>
      </c>
      <c r="D14" t="s">
        <v>21</v>
      </c>
      <c r="E14">
        <f>$B$13*(32)</f>
        <v>1536</v>
      </c>
    </row>
    <row r="15" spans="1:5" x14ac:dyDescent="0.2">
      <c r="A15" s="2" t="s">
        <v>13</v>
      </c>
      <c r="B15" s="1">
        <v>8</v>
      </c>
      <c r="D15" t="s">
        <v>14</v>
      </c>
      <c r="E15">
        <f>$B$15*(16+$B$8*12)</f>
        <v>3200</v>
      </c>
    </row>
    <row r="16" spans="1:5" x14ac:dyDescent="0.2">
      <c r="A16" s="2" t="s">
        <v>10</v>
      </c>
      <c r="B16" s="1">
        <v>8</v>
      </c>
      <c r="D16" t="s">
        <v>5</v>
      </c>
      <c r="E16" s="3">
        <f>$B$16*(36)</f>
        <v>288</v>
      </c>
    </row>
    <row r="18" spans="4:5" ht="24" x14ac:dyDescent="0.3">
      <c r="D18" s="4" t="s">
        <v>11</v>
      </c>
      <c r="E18" s="4">
        <f>SUM(E8:E16)</f>
        <v>19392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 Kernel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FRANZI Edoardo</cp:lastModifiedBy>
  <dcterms:created xsi:type="dcterms:W3CDTF">2018-05-06T07:10:04Z</dcterms:created>
  <dcterms:modified xsi:type="dcterms:W3CDTF">2025-07-22T06:45:37Z</dcterms:modified>
</cp:coreProperties>
</file>